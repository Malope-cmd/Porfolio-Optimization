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71ac65c473e60ab7/Desktop/Malope (Dont Edit Anything)/Analytics/Porfolio Optimization/"/>
    </mc:Choice>
  </mc:AlternateContent>
  <xr:revisionPtr revIDLastSave="2886" documentId="11_085DFC671745788E6E38F4F749084EFAAF6D961E" xr6:coauthVersionLast="47" xr6:coauthVersionMax="47" xr10:uidLastSave="{98D4F225-9F05-4C10-9B14-04B0A426A3AF}"/>
  <bookViews>
    <workbookView xWindow="-108" yWindow="-108" windowWidth="23256" windowHeight="13896" xr2:uid="{00000000-000D-0000-FFFF-FFFF00000000}"/>
  </bookViews>
  <sheets>
    <sheet name="Sheet1" sheetId="1" r:id="rId1"/>
    <sheet name="Sensitivity Report 1" sheetId="8" r:id="rId2"/>
  </sheets>
  <definedNames>
    <definedName name="solver_adj" localSheetId="0" hidden="1">Sheet1!$H$6:$K$6</definedName>
    <definedName name="solver_cvg" localSheetId="0" hidden="1">0.0001</definedName>
    <definedName name="solver_drv" localSheetId="0" hidden="1">2</definedName>
    <definedName name="solver_eng" localSheetId="0" hidden="1">2</definedName>
    <definedName name="solver_est" localSheetId="0" hidden="1">1</definedName>
    <definedName name="solver_itr" localSheetId="0" hidden="1">2147483647</definedName>
    <definedName name="solver_lhs1" localSheetId="0" hidden="1">Sheet1!$L$17</definedName>
    <definedName name="solver_lhs10" localSheetId="0" hidden="1">Sheet1!$L$24</definedName>
    <definedName name="solver_lhs11" localSheetId="0" hidden="1">Sheet1!$L$27</definedName>
    <definedName name="solver_lhs2" localSheetId="0" hidden="1">Sheet1!$L$18</definedName>
    <definedName name="solver_lhs3" localSheetId="0" hidden="1">Sheet1!$L$19</definedName>
    <definedName name="solver_lhs4" localSheetId="0" hidden="1">Sheet1!$L$20</definedName>
    <definedName name="solver_lhs5" localSheetId="0" hidden="1">Sheet1!$L$22</definedName>
    <definedName name="solver_lhs6" localSheetId="0" hidden="1">Sheet1!$L$23</definedName>
    <definedName name="solver_lhs7" localSheetId="0" hidden="1">Sheet1!$L$26</definedName>
    <definedName name="solver_lhs8" localSheetId="0" hidden="1">Sheet1!$L$25</definedName>
    <definedName name="solver_lhs9" localSheetId="0" hidden="1">Sheet1!$L$25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11</definedName>
    <definedName name="solver_nwt" localSheetId="0" hidden="1">1</definedName>
    <definedName name="solver_opt" localSheetId="0" hidden="1">Sheet1!$L$6</definedName>
    <definedName name="solver_pre" localSheetId="0" hidden="1">0.000001</definedName>
    <definedName name="solver_rbv" localSheetId="0" hidden="1">2</definedName>
    <definedName name="solver_rel1" localSheetId="0" hidden="1">1</definedName>
    <definedName name="solver_rel10" localSheetId="0" hidden="1">3</definedName>
    <definedName name="solver_rel11" localSheetId="0" hidden="1">1</definedName>
    <definedName name="solver_rel2" localSheetId="0" hidden="1">3</definedName>
    <definedName name="solver_rel3" localSheetId="0" hidden="1">3</definedName>
    <definedName name="solver_rel4" localSheetId="0" hidden="1">3</definedName>
    <definedName name="solver_rel5" localSheetId="0" hidden="1">3</definedName>
    <definedName name="solver_rel6" localSheetId="0" hidden="1">3</definedName>
    <definedName name="solver_rel7" localSheetId="0" hidden="1">1</definedName>
    <definedName name="solver_rel8" localSheetId="0" hidden="1">3</definedName>
    <definedName name="solver_rel9" localSheetId="0" hidden="1">3</definedName>
    <definedName name="solver_rhs1" localSheetId="0" hidden="1">Sheet1!$N$17</definedName>
    <definedName name="solver_rhs10" localSheetId="0" hidden="1">Sheet1!$N$24</definedName>
    <definedName name="solver_rhs11" localSheetId="0" hidden="1">Sheet1!$N$27</definedName>
    <definedName name="solver_rhs2" localSheetId="0" hidden="1">Sheet1!$N$18</definedName>
    <definedName name="solver_rhs3" localSheetId="0" hidden="1">Sheet1!$N$19</definedName>
    <definedName name="solver_rhs4" localSheetId="0" hidden="1">Sheet1!$N$20</definedName>
    <definedName name="solver_rhs5" localSheetId="0" hidden="1">Sheet1!$N$22</definedName>
    <definedName name="solver_rhs6" localSheetId="0" hidden="1">Sheet1!$N$23</definedName>
    <definedName name="solver_rhs7" localSheetId="0" hidden="1">Sheet1!$N$26</definedName>
    <definedName name="solver_rhs8" localSheetId="0" hidden="1">Sheet1!$N$25</definedName>
    <definedName name="solver_rhs9" localSheetId="0" hidden="1">Sheet1!$N$25</definedName>
    <definedName name="solver_rlx" localSheetId="0" hidden="1">2</definedName>
    <definedName name="solver_rsd" localSheetId="0" hidden="1">0</definedName>
    <definedName name="solver_scl" localSheetId="0" hidden="1">2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1</definedName>
    <definedName name="solver_val" localSheetId="0" hidden="1">0</definedName>
    <definedName name="solver_ver" localSheetId="0" hidden="1">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7" i="1" l="1"/>
  <c r="L26" i="1"/>
  <c r="L23" i="1"/>
  <c r="L24" i="1"/>
  <c r="L25" i="1"/>
  <c r="L22" i="1"/>
  <c r="K25" i="1"/>
  <c r="J24" i="1"/>
  <c r="I23" i="1"/>
  <c r="H22" i="1"/>
  <c r="L18" i="1"/>
  <c r="L19" i="1"/>
  <c r="L20" i="1"/>
  <c r="L21" i="1"/>
  <c r="L17" i="1"/>
  <c r="L6" i="1"/>
  <c r="J21" i="1"/>
  <c r="K20" i="1"/>
  <c r="J20" i="1"/>
  <c r="K19" i="1"/>
  <c r="I19" i="1"/>
  <c r="J18" i="1"/>
  <c r="H18" i="1"/>
  <c r="H17" i="1"/>
  <c r="L5" i="1"/>
  <c r="L4" i="1"/>
</calcChain>
</file>

<file path=xl/sharedStrings.xml><?xml version="1.0" encoding="utf-8"?>
<sst xmlns="http://schemas.openxmlformats.org/spreadsheetml/2006/main" count="96" uniqueCount="76">
  <si>
    <t>Date</t>
  </si>
  <si>
    <t>AAPL</t>
  </si>
  <si>
    <t>MSFT</t>
  </si>
  <si>
    <t>JPM</t>
  </si>
  <si>
    <t>XOM</t>
  </si>
  <si>
    <t>Apple</t>
  </si>
  <si>
    <t>Microsoft</t>
  </si>
  <si>
    <t>JP Morgan</t>
  </si>
  <si>
    <t>Exxon</t>
  </si>
  <si>
    <t xml:space="preserve">Stock </t>
  </si>
  <si>
    <t>Value</t>
  </si>
  <si>
    <t>Number of shares</t>
  </si>
  <si>
    <t>Close: 31/05/2026</t>
  </si>
  <si>
    <t>Close: 29/06/2026</t>
  </si>
  <si>
    <t>Constraint 1</t>
  </si>
  <si>
    <t>Constraint 2</t>
  </si>
  <si>
    <t>Constraint 3</t>
  </si>
  <si>
    <t>Constraint 4</t>
  </si>
  <si>
    <t>Constraint 5</t>
  </si>
  <si>
    <t>&lt;=</t>
  </si>
  <si>
    <t>&gt;=</t>
  </si>
  <si>
    <t>LHS</t>
  </si>
  <si>
    <t>RHS</t>
  </si>
  <si>
    <t>Worksheet: [june_forecast.xlsx]Sheet1</t>
  </si>
  <si>
    <t>Cell</t>
  </si>
  <si>
    <t>Name</t>
  </si>
  <si>
    <t>Variable Cells</t>
  </si>
  <si>
    <t>Constraints</t>
  </si>
  <si>
    <t>$H$6</t>
  </si>
  <si>
    <t>Number of shares Apple</t>
  </si>
  <si>
    <t>$I$6</t>
  </si>
  <si>
    <t>Number of shares Microsoft</t>
  </si>
  <si>
    <t>$J$6</t>
  </si>
  <si>
    <t>Number of shares JP Morgan</t>
  </si>
  <si>
    <t>$K$6</t>
  </si>
  <si>
    <t>Number of shares Exxon</t>
  </si>
  <si>
    <t>$L$17</t>
  </si>
  <si>
    <t>Constraint 1 LHS</t>
  </si>
  <si>
    <t>$L$18</t>
  </si>
  <si>
    <t>Constraint 2 LHS</t>
  </si>
  <si>
    <t>$L$19</t>
  </si>
  <si>
    <t>Constraint 3 LHS</t>
  </si>
  <si>
    <t>$L$20</t>
  </si>
  <si>
    <t>Constraint 4 LHS</t>
  </si>
  <si>
    <t>Constraint 6</t>
  </si>
  <si>
    <t>Constraint 7</t>
  </si>
  <si>
    <t>Constraint 8</t>
  </si>
  <si>
    <t>Constraint 9</t>
  </si>
  <si>
    <t>Constraint 10</t>
  </si>
  <si>
    <t>Constraint 11</t>
  </si>
  <si>
    <t>Microsoft Excel 16.0 Sensitivity Report</t>
  </si>
  <si>
    <t>Final</t>
  </si>
  <si>
    <t>Reduced</t>
  </si>
  <si>
    <t>Cost</t>
  </si>
  <si>
    <t>Objective</t>
  </si>
  <si>
    <t>Coefficient</t>
  </si>
  <si>
    <t>Allowable</t>
  </si>
  <si>
    <t>Increase</t>
  </si>
  <si>
    <t>Decrease</t>
  </si>
  <si>
    <t>Shadow</t>
  </si>
  <si>
    <t>Price</t>
  </si>
  <si>
    <t>Constraint</t>
  </si>
  <si>
    <t>R.H. Side</t>
  </si>
  <si>
    <t>$L$22</t>
  </si>
  <si>
    <t>Constraint 6 LHS</t>
  </si>
  <si>
    <t>$L$23</t>
  </si>
  <si>
    <t>Constraint 7 LHS</t>
  </si>
  <si>
    <t>$L$24</t>
  </si>
  <si>
    <t>Constraint 8 LHS</t>
  </si>
  <si>
    <t>$L$25</t>
  </si>
  <si>
    <t>Constraint 9 LHS</t>
  </si>
  <si>
    <t>$L$26</t>
  </si>
  <si>
    <t>Constraint 10 LHS</t>
  </si>
  <si>
    <t>$L$27</t>
  </si>
  <si>
    <t>Constraint 11 LHS</t>
  </si>
  <si>
    <t>Report Created: 2026/06/29 21:48:06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</si>
</sst>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5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b/>
      <sz val="11"/>
      <color indexed="18"/>
      <name val="Calibri"/>
      <family val="2"/>
      <scheme val="minor"/>
    </font>
    <font>
      <sz val="8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indexed="23"/>
      </top>
      <bottom/>
      <diagonal/>
    </border>
    <border>
      <left/>
      <right/>
      <top/>
      <bottom style="medium">
        <color indexed="23"/>
      </bottom>
      <diagonal/>
    </border>
    <border>
      <left/>
      <right/>
      <top style="thin">
        <color indexed="23"/>
      </top>
      <bottom style="medium">
        <color indexed="23"/>
      </bottom>
      <diagonal/>
    </border>
    <border>
      <left/>
      <right/>
      <top style="thin">
        <color indexed="23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  <xf numFmtId="0" fontId="0" fillId="2" borderId="0" xfId="0" applyFill="1"/>
    <xf numFmtId="16" fontId="0" fillId="0" borderId="0" xfId="0" applyNumberFormat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2" fillId="0" borderId="0" xfId="0" applyFont="1"/>
    <xf numFmtId="0" fontId="0" fillId="0" borderId="4" xfId="0" applyFill="1" applyBorder="1" applyAlignment="1"/>
    <xf numFmtId="0" fontId="0" fillId="0" borderId="5" xfId="0" applyFill="1" applyBorder="1" applyAlignment="1"/>
    <xf numFmtId="0" fontId="0" fillId="8" borderId="0" xfId="0" applyFill="1"/>
    <xf numFmtId="0" fontId="3" fillId="0" borderId="2" xfId="0" applyFont="1" applyFill="1" applyBorder="1" applyAlignment="1">
      <alignment horizontal="center"/>
    </xf>
    <xf numFmtId="0" fontId="3" fillId="0" borderId="3" xfId="0" applyFont="1" applyFill="1" applyBorder="1" applyAlignment="1">
      <alignment horizontal="center"/>
    </xf>
    <xf numFmtId="0" fontId="0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0"/>
  <sheetViews>
    <sheetView tabSelected="1" workbookViewId="0">
      <selection activeCell="A3" sqref="A3"/>
    </sheetView>
  </sheetViews>
  <sheetFormatPr defaultRowHeight="14.4" x14ac:dyDescent="0.3"/>
  <cols>
    <col min="1" max="1" width="18.109375" bestFit="1" customWidth="1"/>
    <col min="7" max="7" width="18.44140625" customWidth="1"/>
    <col min="8" max="8" width="10.77734375" customWidth="1"/>
    <col min="9" max="9" width="11.21875" customWidth="1"/>
    <col min="10" max="10" width="10.77734375" customWidth="1"/>
    <col min="11" max="11" width="10.88671875" customWidth="1"/>
    <col min="12" max="12" width="11.77734375" customWidth="1"/>
    <col min="13" max="13" width="4.33203125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14" x14ac:dyDescent="0.3">
      <c r="A2" s="2">
        <v>46174</v>
      </c>
      <c r="B2">
        <v>312.7333219463876</v>
      </c>
      <c r="C2">
        <v>450.70880241812068</v>
      </c>
      <c r="D2">
        <v>300.01326876776091</v>
      </c>
      <c r="E2">
        <v>145.51396480124899</v>
      </c>
    </row>
    <row r="3" spans="1:14" x14ac:dyDescent="0.3">
      <c r="A3" s="2">
        <v>46175</v>
      </c>
      <c r="B3">
        <v>313.83200005714338</v>
      </c>
      <c r="C3">
        <v>451.9230452537505</v>
      </c>
      <c r="D3">
        <v>301.01555021720338</v>
      </c>
      <c r="E3">
        <v>145.94269575516239</v>
      </c>
      <c r="G3" t="s">
        <v>9</v>
      </c>
      <c r="H3" t="s">
        <v>5</v>
      </c>
      <c r="I3" t="s">
        <v>6</v>
      </c>
      <c r="J3" t="s">
        <v>7</v>
      </c>
      <c r="K3" t="s">
        <v>8</v>
      </c>
    </row>
    <row r="4" spans="1:14" x14ac:dyDescent="0.3">
      <c r="A4" s="2">
        <v>46176</v>
      </c>
      <c r="B4">
        <v>313.41440391503232</v>
      </c>
      <c r="C4">
        <v>451.19109650304341</v>
      </c>
      <c r="D4">
        <v>300.72692337087318</v>
      </c>
      <c r="E4">
        <v>145.7729663050923</v>
      </c>
      <c r="G4" t="s">
        <v>12</v>
      </c>
      <c r="H4" s="3">
        <v>312.58629999999999</v>
      </c>
      <c r="I4" s="3">
        <v>450.71679999999998</v>
      </c>
      <c r="J4" s="3">
        <v>299.822</v>
      </c>
      <c r="K4" s="3">
        <v>145.46129999999999</v>
      </c>
      <c r="L4">
        <f>SUM(H4:K4)</f>
        <v>1208.5863999999999</v>
      </c>
    </row>
    <row r="5" spans="1:14" x14ac:dyDescent="0.3">
      <c r="A5" s="2">
        <v>46177</v>
      </c>
      <c r="B5">
        <v>313.79527170074857</v>
      </c>
      <c r="C5">
        <v>451.48522211509271</v>
      </c>
      <c r="D5">
        <v>301.11949258542052</v>
      </c>
      <c r="E5">
        <v>145.91910121354161</v>
      </c>
      <c r="G5" t="s">
        <v>13</v>
      </c>
      <c r="H5" s="3">
        <v>322.3134</v>
      </c>
      <c r="I5" s="3">
        <v>457.4907</v>
      </c>
      <c r="J5" s="3">
        <v>310.1508</v>
      </c>
      <c r="K5" s="3">
        <v>149.1891</v>
      </c>
      <c r="L5">
        <f>SUM(H5:K5)</f>
        <v>1239.1440000000002</v>
      </c>
    </row>
    <row r="6" spans="1:14" x14ac:dyDescent="0.3">
      <c r="A6" s="2">
        <v>46178</v>
      </c>
      <c r="B6">
        <v>314.47072894592719</v>
      </c>
      <c r="C6">
        <v>452.17891662626607</v>
      </c>
      <c r="D6">
        <v>301.77855052706423</v>
      </c>
      <c r="E6">
        <v>146.19105267107381</v>
      </c>
      <c r="G6" t="s">
        <v>11</v>
      </c>
      <c r="H6" s="6">
        <v>19.240254611286545</v>
      </c>
      <c r="I6" s="6">
        <v>12.100436460322758</v>
      </c>
      <c r="J6" s="6">
        <v>80</v>
      </c>
      <c r="K6" s="6">
        <v>100</v>
      </c>
      <c r="L6" s="15">
        <f>SUMPRODUCT(H5:K5,H6:K6)</f>
        <v>51468.203027168027</v>
      </c>
    </row>
    <row r="7" spans="1:14" x14ac:dyDescent="0.3">
      <c r="A7" s="2">
        <v>46179</v>
      </c>
      <c r="B7">
        <v>314.42094825126702</v>
      </c>
      <c r="C7">
        <v>451.91584086688289</v>
      </c>
      <c r="D7">
        <v>301.80130834198059</v>
      </c>
      <c r="E7">
        <v>146.16523867061659</v>
      </c>
    </row>
    <row r="8" spans="1:14" x14ac:dyDescent="0.3">
      <c r="A8" s="2">
        <v>46180</v>
      </c>
      <c r="B8">
        <v>314.35409536383622</v>
      </c>
      <c r="C8">
        <v>451.61419526436327</v>
      </c>
      <c r="D8">
        <v>301.79793061098832</v>
      </c>
      <c r="E8">
        <v>146.12584169501841</v>
      </c>
      <c r="H8" s="4"/>
      <c r="I8" s="4"/>
      <c r="J8" s="4"/>
      <c r="K8" s="4"/>
      <c r="L8" s="4"/>
    </row>
    <row r="9" spans="1:14" x14ac:dyDescent="0.3">
      <c r="A9" s="2">
        <v>46181</v>
      </c>
      <c r="B9">
        <v>315.41022266103801</v>
      </c>
      <c r="C9">
        <v>452.78473677418168</v>
      </c>
      <c r="D9">
        <v>302.77577329958029</v>
      </c>
      <c r="E9">
        <v>146.54364169999769</v>
      </c>
      <c r="G9" s="5"/>
      <c r="H9" s="5"/>
      <c r="I9" s="5"/>
      <c r="J9" s="5"/>
      <c r="K9" s="5"/>
      <c r="L9" s="5"/>
    </row>
    <row r="10" spans="1:14" x14ac:dyDescent="0.3">
      <c r="A10" s="2">
        <v>46182</v>
      </c>
      <c r="B10">
        <v>315.94740060461243</v>
      </c>
      <c r="C10">
        <v>453.28091189319213</v>
      </c>
      <c r="D10">
        <v>303.30508533782461</v>
      </c>
      <c r="E10">
        <v>146.75304044939389</v>
      </c>
      <c r="G10" s="5"/>
      <c r="H10" s="5"/>
      <c r="I10" s="5"/>
      <c r="J10" s="5"/>
      <c r="K10" s="5"/>
      <c r="L10" s="5"/>
    </row>
    <row r="11" spans="1:14" x14ac:dyDescent="0.3">
      <c r="A11" s="2">
        <v>46183</v>
      </c>
      <c r="B11">
        <v>315.88851441163968</v>
      </c>
      <c r="C11">
        <v>453.06420527784729</v>
      </c>
      <c r="D11">
        <v>303.36019775835399</v>
      </c>
      <c r="E11">
        <v>146.7466276868733</v>
      </c>
      <c r="G11" s="5"/>
      <c r="H11" s="5"/>
      <c r="I11" s="5"/>
      <c r="J11" s="5"/>
      <c r="K11" s="5"/>
      <c r="L11" s="5"/>
    </row>
    <row r="12" spans="1:14" x14ac:dyDescent="0.3">
      <c r="A12" s="2">
        <v>46184</v>
      </c>
      <c r="B12">
        <v>316.24852421424458</v>
      </c>
      <c r="C12">
        <v>453.25893660276319</v>
      </c>
      <c r="D12">
        <v>303.68791615549742</v>
      </c>
      <c r="E12">
        <v>146.85626437808139</v>
      </c>
      <c r="G12" s="5"/>
      <c r="H12" s="5"/>
      <c r="I12" s="5"/>
      <c r="J12" s="5"/>
      <c r="K12" s="5"/>
      <c r="L12" s="5"/>
    </row>
    <row r="13" spans="1:14" x14ac:dyDescent="0.3">
      <c r="A13" s="2">
        <v>46185</v>
      </c>
      <c r="B13">
        <v>316.45889935200779</v>
      </c>
      <c r="C13">
        <v>453.37245294222771</v>
      </c>
      <c r="D13">
        <v>303.96345895617708</v>
      </c>
      <c r="E13">
        <v>146.95084562581081</v>
      </c>
      <c r="G13" s="5"/>
      <c r="H13" s="5"/>
      <c r="I13" s="5"/>
      <c r="J13" s="5"/>
      <c r="K13" s="5"/>
      <c r="L13" s="5"/>
    </row>
    <row r="14" spans="1:14" x14ac:dyDescent="0.3">
      <c r="A14" s="2">
        <v>46186</v>
      </c>
      <c r="B14">
        <v>316.4784194677103</v>
      </c>
      <c r="C14">
        <v>453.14755844498762</v>
      </c>
      <c r="D14">
        <v>304.01152359017982</v>
      </c>
      <c r="E14">
        <v>146.93217937359529</v>
      </c>
    </row>
    <row r="15" spans="1:14" x14ac:dyDescent="0.3">
      <c r="A15" s="2">
        <v>46187</v>
      </c>
      <c r="B15">
        <v>317.06213143866933</v>
      </c>
      <c r="C15">
        <v>453.73099871471697</v>
      </c>
      <c r="D15">
        <v>304.6017242485035</v>
      </c>
      <c r="E15">
        <v>147.1725725433387</v>
      </c>
    </row>
    <row r="16" spans="1:14" x14ac:dyDescent="0.3">
      <c r="A16" s="2">
        <v>46188</v>
      </c>
      <c r="B16">
        <v>318.33578946255301</v>
      </c>
      <c r="C16">
        <v>455.17500773524671</v>
      </c>
      <c r="D16">
        <v>305.76801841305888</v>
      </c>
      <c r="E16">
        <v>147.67543278220651</v>
      </c>
      <c r="L16" t="s">
        <v>21</v>
      </c>
      <c r="N16" t="s">
        <v>22</v>
      </c>
    </row>
    <row r="17" spans="1:14" x14ac:dyDescent="0.3">
      <c r="A17" s="2">
        <v>46189</v>
      </c>
      <c r="B17">
        <v>318.64598631486882</v>
      </c>
      <c r="C17">
        <v>455.33932420630219</v>
      </c>
      <c r="D17">
        <v>306.07776536618059</v>
      </c>
      <c r="E17">
        <v>147.7797569156437</v>
      </c>
      <c r="G17" t="s">
        <v>14</v>
      </c>
      <c r="H17" s="3">
        <f>H4</f>
        <v>312.58629999999999</v>
      </c>
      <c r="I17" s="3">
        <v>450.71679999999998</v>
      </c>
      <c r="J17" s="3">
        <v>299.822</v>
      </c>
      <c r="K17" s="3">
        <v>145.46129999999999</v>
      </c>
      <c r="L17" s="7">
        <f>SUMPRODUCT($H$6:$K$6,H17:K17)</f>
        <v>50000</v>
      </c>
      <c r="M17" s="8" t="s">
        <v>19</v>
      </c>
      <c r="N17" s="3">
        <v>50000</v>
      </c>
    </row>
    <row r="18" spans="1:14" x14ac:dyDescent="0.3">
      <c r="A18" s="2">
        <v>46190</v>
      </c>
      <c r="B18">
        <v>318.41569693888368</v>
      </c>
      <c r="C18">
        <v>454.89809071016089</v>
      </c>
      <c r="D18">
        <v>305.98384061411218</v>
      </c>
      <c r="E18">
        <v>147.70792104743401</v>
      </c>
      <c r="G18" t="s">
        <v>15</v>
      </c>
      <c r="H18" s="3">
        <f>H4</f>
        <v>312.58629999999999</v>
      </c>
      <c r="I18" s="3">
        <v>0</v>
      </c>
      <c r="J18" s="3">
        <f>J4</f>
        <v>299.822</v>
      </c>
      <c r="K18" s="3">
        <v>0</v>
      </c>
      <c r="L18" s="7">
        <f t="shared" ref="L18:L21" si="0">SUMPRODUCT($H$6:$K$6,H18:K18)</f>
        <v>30000</v>
      </c>
      <c r="M18" s="8" t="s">
        <v>20</v>
      </c>
      <c r="N18" s="3">
        <v>25000</v>
      </c>
    </row>
    <row r="19" spans="1:14" x14ac:dyDescent="0.3">
      <c r="A19" s="2">
        <v>46191</v>
      </c>
      <c r="B19">
        <v>319.2193380946419</v>
      </c>
      <c r="C19">
        <v>455.66086556559469</v>
      </c>
      <c r="D19">
        <v>306.69448333541482</v>
      </c>
      <c r="E19">
        <v>147.99004814118831</v>
      </c>
      <c r="G19" t="s">
        <v>16</v>
      </c>
      <c r="H19" s="3">
        <v>0</v>
      </c>
      <c r="I19" s="3">
        <f>I4</f>
        <v>450.71679999999998</v>
      </c>
      <c r="J19" s="3">
        <v>0</v>
      </c>
      <c r="K19" s="3">
        <f>K4</f>
        <v>145.46129999999999</v>
      </c>
      <c r="L19" s="7">
        <f t="shared" si="0"/>
        <v>20000</v>
      </c>
      <c r="M19" s="8" t="s">
        <v>20</v>
      </c>
      <c r="N19" s="3">
        <v>20000</v>
      </c>
    </row>
    <row r="20" spans="1:14" x14ac:dyDescent="0.3">
      <c r="A20" s="2">
        <v>46192</v>
      </c>
      <c r="B20">
        <v>320.21435750655962</v>
      </c>
      <c r="C20">
        <v>456.74774945680679</v>
      </c>
      <c r="D20">
        <v>307.62512280154903</v>
      </c>
      <c r="E20">
        <v>148.38496470073221</v>
      </c>
      <c r="G20" t="s">
        <v>17</v>
      </c>
      <c r="H20" s="3">
        <v>0</v>
      </c>
      <c r="I20" s="3">
        <v>0</v>
      </c>
      <c r="J20" s="3">
        <f>J4</f>
        <v>299.822</v>
      </c>
      <c r="K20" s="3">
        <f>K4</f>
        <v>145.46129999999999</v>
      </c>
      <c r="L20" s="7">
        <f t="shared" si="0"/>
        <v>38531.89</v>
      </c>
      <c r="M20" s="8" t="s">
        <v>20</v>
      </c>
      <c r="N20" s="3">
        <v>15000</v>
      </c>
    </row>
    <row r="21" spans="1:14" x14ac:dyDescent="0.3">
      <c r="A21" s="2">
        <v>46193</v>
      </c>
      <c r="B21">
        <v>320.47581730354563</v>
      </c>
      <c r="C21">
        <v>456.86876865652158</v>
      </c>
      <c r="D21">
        <v>307.90774338871699</v>
      </c>
      <c r="E21">
        <v>148.4772644573369</v>
      </c>
      <c r="G21" t="s">
        <v>18</v>
      </c>
      <c r="H21" s="3">
        <v>0</v>
      </c>
      <c r="I21" s="3">
        <v>0</v>
      </c>
      <c r="J21" s="3">
        <f>J4</f>
        <v>299.822</v>
      </c>
      <c r="K21" s="3">
        <v>0</v>
      </c>
      <c r="L21" s="7">
        <f t="shared" si="0"/>
        <v>23985.760000000002</v>
      </c>
      <c r="M21" s="8" t="s">
        <v>19</v>
      </c>
      <c r="N21" s="3">
        <v>15000</v>
      </c>
    </row>
    <row r="22" spans="1:14" x14ac:dyDescent="0.3">
      <c r="A22" s="2">
        <v>46194</v>
      </c>
      <c r="B22">
        <v>320.21351906968079</v>
      </c>
      <c r="C22">
        <v>456.40876267053949</v>
      </c>
      <c r="D22">
        <v>307.80210834704542</v>
      </c>
      <c r="E22">
        <v>148.39988314715961</v>
      </c>
      <c r="G22" t="s">
        <v>44</v>
      </c>
      <c r="H22" s="3">
        <f>H17</f>
        <v>312.58629999999999</v>
      </c>
      <c r="I22" s="3">
        <v>0</v>
      </c>
      <c r="J22" s="3">
        <v>0</v>
      </c>
      <c r="K22" s="3">
        <v>0</v>
      </c>
      <c r="L22" s="7">
        <f>SUMPRODUCT($H$6:$K$6,H22:K22)</f>
        <v>6014.2399999999989</v>
      </c>
      <c r="M22" s="8" t="s">
        <v>20</v>
      </c>
      <c r="N22" s="3">
        <v>3125</v>
      </c>
    </row>
    <row r="23" spans="1:14" x14ac:dyDescent="0.3">
      <c r="A23" s="2">
        <v>46195</v>
      </c>
      <c r="B23">
        <v>320.56340559861269</v>
      </c>
      <c r="C23">
        <v>456.62620477419449</v>
      </c>
      <c r="D23">
        <v>308.14943050757358</v>
      </c>
      <c r="E23">
        <v>148.5202355556589</v>
      </c>
      <c r="G23" t="s">
        <v>45</v>
      </c>
      <c r="H23" s="3">
        <v>0</v>
      </c>
      <c r="I23" s="3">
        <f>I19</f>
        <v>450.71679999999998</v>
      </c>
      <c r="J23" s="3">
        <v>0</v>
      </c>
      <c r="K23" s="3">
        <v>0</v>
      </c>
      <c r="L23" s="7">
        <f t="shared" ref="L23:L25" si="1">SUMPRODUCT($H$6:$K$6,H23:K23)</f>
        <v>5453.87</v>
      </c>
      <c r="M23" s="8" t="s">
        <v>20</v>
      </c>
      <c r="N23" s="3">
        <v>4507</v>
      </c>
    </row>
    <row r="24" spans="1:14" x14ac:dyDescent="0.3">
      <c r="A24" s="2">
        <v>46196</v>
      </c>
      <c r="B24">
        <v>320.29801288099668</v>
      </c>
      <c r="C24">
        <v>456.05747394420172</v>
      </c>
      <c r="D24">
        <v>307.96814976568203</v>
      </c>
      <c r="E24">
        <v>148.3963725055979</v>
      </c>
      <c r="G24" t="s">
        <v>46</v>
      </c>
      <c r="H24" s="3">
        <v>0</v>
      </c>
      <c r="I24" s="3">
        <v>0</v>
      </c>
      <c r="J24" s="3">
        <f>J21</f>
        <v>299.822</v>
      </c>
      <c r="K24" s="3">
        <v>0</v>
      </c>
      <c r="L24" s="7">
        <f t="shared" si="1"/>
        <v>23985.760000000002</v>
      </c>
      <c r="M24" s="8" t="s">
        <v>20</v>
      </c>
      <c r="N24" s="3">
        <v>2998</v>
      </c>
    </row>
    <row r="25" spans="1:14" x14ac:dyDescent="0.3">
      <c r="A25" s="2">
        <v>46197</v>
      </c>
      <c r="B25">
        <v>321.60134932542599</v>
      </c>
      <c r="C25">
        <v>457.5453452027441</v>
      </c>
      <c r="D25">
        <v>309.17071803922732</v>
      </c>
      <c r="E25">
        <v>148.9096509092345</v>
      </c>
      <c r="G25" t="s">
        <v>47</v>
      </c>
      <c r="H25" s="3">
        <v>0</v>
      </c>
      <c r="I25" s="3">
        <v>0</v>
      </c>
      <c r="J25" s="3">
        <v>0</v>
      </c>
      <c r="K25" s="3">
        <f>K20</f>
        <v>145.46129999999999</v>
      </c>
      <c r="L25" s="7">
        <f t="shared" si="1"/>
        <v>14546.13</v>
      </c>
      <c r="M25" s="8" t="s">
        <v>20</v>
      </c>
      <c r="N25" s="3">
        <v>1454</v>
      </c>
    </row>
    <row r="26" spans="1:14" x14ac:dyDescent="0.3">
      <c r="A26" s="2">
        <v>46198</v>
      </c>
      <c r="B26">
        <v>321.45644562173402</v>
      </c>
      <c r="C26">
        <v>457.17126178577053</v>
      </c>
      <c r="D26">
        <v>309.12282380418139</v>
      </c>
      <c r="E26">
        <v>148.85806891014849</v>
      </c>
      <c r="G26" t="s">
        <v>48</v>
      </c>
      <c r="H26" s="3">
        <v>0</v>
      </c>
      <c r="I26" s="3">
        <v>0</v>
      </c>
      <c r="J26" s="3">
        <v>1</v>
      </c>
      <c r="K26" s="3">
        <v>0</v>
      </c>
      <c r="L26" s="12">
        <f>SUMPRODUCT($H$6:$K$6,H26:K26)</f>
        <v>80</v>
      </c>
      <c r="M26" s="8" t="s">
        <v>19</v>
      </c>
      <c r="N26" s="3">
        <v>80</v>
      </c>
    </row>
    <row r="27" spans="1:14" x14ac:dyDescent="0.3">
      <c r="A27" s="2">
        <v>46199</v>
      </c>
      <c r="B27">
        <v>321.82115061434001</v>
      </c>
      <c r="C27">
        <v>457.39585654315982</v>
      </c>
      <c r="D27">
        <v>309.47609732946148</v>
      </c>
      <c r="E27">
        <v>148.98021366292201</v>
      </c>
      <c r="G27" t="s">
        <v>49</v>
      </c>
      <c r="H27" s="3">
        <v>0</v>
      </c>
      <c r="I27" s="3">
        <v>0</v>
      </c>
      <c r="J27" s="3">
        <v>0</v>
      </c>
      <c r="K27" s="3">
        <v>1</v>
      </c>
      <c r="L27" s="12">
        <f>SUMPRODUCT($H$6:$K$6,H27:K27)</f>
        <v>100</v>
      </c>
      <c r="M27" s="8" t="s">
        <v>19</v>
      </c>
      <c r="N27" s="3">
        <v>100</v>
      </c>
    </row>
    <row r="28" spans="1:14" x14ac:dyDescent="0.3">
      <c r="A28" s="2">
        <v>46200</v>
      </c>
      <c r="B28">
        <v>322.0248064876497</v>
      </c>
      <c r="C28">
        <v>457.43771729635188</v>
      </c>
      <c r="D28">
        <v>309.70694674547212</v>
      </c>
      <c r="E28">
        <v>149.04842484105549</v>
      </c>
    </row>
    <row r="29" spans="1:14" x14ac:dyDescent="0.3">
      <c r="A29" s="2">
        <v>46201</v>
      </c>
      <c r="B29">
        <v>322.96001266495261</v>
      </c>
      <c r="C29">
        <v>458.43892376302239</v>
      </c>
      <c r="D29">
        <v>310.58557380059131</v>
      </c>
      <c r="E29">
        <v>149.41559368973111</v>
      </c>
    </row>
    <row r="30" spans="1:14" x14ac:dyDescent="0.3">
      <c r="A30" s="2">
        <v>46202</v>
      </c>
      <c r="B30">
        <v>322.31136549222299</v>
      </c>
      <c r="C30">
        <v>457.49071578001508</v>
      </c>
      <c r="D30">
        <v>310.1508417388427</v>
      </c>
      <c r="E30">
        <v>149.18905781660669</v>
      </c>
    </row>
  </sheetData>
  <scenarios current="0">
    <scenario name="Optimal I" count="4" user="Admin" comment="Created by Admin on 6/29/2026">
      <inputCells r="H6" val="19.2402546112865"/>
      <inputCells r="I6" val="12.1004364603228"/>
      <inputCells r="J6" val="80"/>
      <inputCells r="K6" val="100"/>
    </scenario>
  </scenarios>
  <phoneticPr fontId="4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690C6E-41E7-4E32-9CC3-1DF6509F9B42}">
  <dimension ref="A1:H27"/>
  <sheetViews>
    <sheetView showGridLines="0" workbookViewId="0"/>
  </sheetViews>
  <sheetFormatPr defaultRowHeight="14.4" x14ac:dyDescent="0.3"/>
  <cols>
    <col min="1" max="1" width="2.33203125" customWidth="1"/>
    <col min="2" max="2" width="5.88671875" bestFit="1" customWidth="1"/>
    <col min="3" max="3" width="24.6640625" bestFit="1" customWidth="1"/>
    <col min="4" max="4" width="12" bestFit="1" customWidth="1"/>
    <col min="5" max="5" width="12.6640625" bestFit="1" customWidth="1"/>
    <col min="6" max="6" width="10.109375" bestFit="1" customWidth="1"/>
    <col min="7" max="8" width="12" bestFit="1" customWidth="1"/>
  </cols>
  <sheetData>
    <row r="1" spans="1:8" x14ac:dyDescent="0.3">
      <c r="A1" s="9" t="s">
        <v>50</v>
      </c>
    </row>
    <row r="2" spans="1:8" x14ac:dyDescent="0.3">
      <c r="A2" s="9" t="s">
        <v>23</v>
      </c>
    </row>
    <row r="3" spans="1:8" x14ac:dyDescent="0.3">
      <c r="A3" s="9" t="s">
        <v>75</v>
      </c>
    </row>
    <row r="6" spans="1:8" ht="15" thickBot="1" x14ac:dyDescent="0.35">
      <c r="A6" t="s">
        <v>26</v>
      </c>
    </row>
    <row r="7" spans="1:8" x14ac:dyDescent="0.3">
      <c r="B7" s="13"/>
      <c r="C7" s="13"/>
      <c r="D7" s="13" t="s">
        <v>51</v>
      </c>
      <c r="E7" s="13" t="s">
        <v>52</v>
      </c>
      <c r="F7" s="13" t="s">
        <v>54</v>
      </c>
      <c r="G7" s="13" t="s">
        <v>56</v>
      </c>
      <c r="H7" s="13" t="s">
        <v>56</v>
      </c>
    </row>
    <row r="8" spans="1:8" ht="15" thickBot="1" x14ac:dyDescent="0.35">
      <c r="B8" s="14" t="s">
        <v>24</v>
      </c>
      <c r="C8" s="14" t="s">
        <v>25</v>
      </c>
      <c r="D8" s="14" t="s">
        <v>10</v>
      </c>
      <c r="E8" s="14" t="s">
        <v>53</v>
      </c>
      <c r="F8" s="14" t="s">
        <v>55</v>
      </c>
      <c r="G8" s="14" t="s">
        <v>57</v>
      </c>
      <c r="H8" s="14" t="s">
        <v>58</v>
      </c>
    </row>
    <row r="9" spans="1:8" x14ac:dyDescent="0.3">
      <c r="B9" s="11" t="s">
        <v>28</v>
      </c>
      <c r="C9" s="11" t="s">
        <v>29</v>
      </c>
      <c r="D9" s="11">
        <v>19.240254611286545</v>
      </c>
      <c r="E9" s="11">
        <v>0</v>
      </c>
      <c r="F9" s="11">
        <v>322.3134</v>
      </c>
      <c r="G9" s="11">
        <v>1.041427244298327</v>
      </c>
      <c r="H9" s="11">
        <v>5.0291869477906612</v>
      </c>
    </row>
    <row r="10" spans="1:8" x14ac:dyDescent="0.3">
      <c r="B10" s="11" t="s">
        <v>30</v>
      </c>
      <c r="C10" s="11" t="s">
        <v>31</v>
      </c>
      <c r="D10" s="11">
        <v>12.100436460322758</v>
      </c>
      <c r="E10" s="11">
        <v>0</v>
      </c>
      <c r="F10" s="11">
        <v>457.49070000000006</v>
      </c>
      <c r="G10" s="11">
        <v>4.7768154620508572</v>
      </c>
      <c r="H10" s="11">
        <v>1E+30</v>
      </c>
    </row>
    <row r="11" spans="1:8" x14ac:dyDescent="0.3">
      <c r="B11" s="11" t="s">
        <v>32</v>
      </c>
      <c r="C11" s="11" t="s">
        <v>33</v>
      </c>
      <c r="D11" s="11">
        <v>80</v>
      </c>
      <c r="E11" s="11">
        <v>0</v>
      </c>
      <c r="F11" s="11">
        <v>310.15080000000012</v>
      </c>
      <c r="G11" s="11">
        <v>1E+30</v>
      </c>
      <c r="H11" s="11">
        <v>0.99890110103997887</v>
      </c>
    </row>
    <row r="12" spans="1:8" ht="15" thickBot="1" x14ac:dyDescent="0.35">
      <c r="B12" s="10" t="s">
        <v>34</v>
      </c>
      <c r="C12" s="10" t="s">
        <v>35</v>
      </c>
      <c r="D12" s="10">
        <v>100</v>
      </c>
      <c r="E12" s="10">
        <v>0</v>
      </c>
      <c r="F12" s="10">
        <v>149.18910000000005</v>
      </c>
      <c r="G12" s="10">
        <v>1E+30</v>
      </c>
      <c r="H12" s="10">
        <v>1.54163720316176</v>
      </c>
    </row>
    <row r="14" spans="1:8" ht="15" thickBot="1" x14ac:dyDescent="0.35">
      <c r="A14" t="s">
        <v>27</v>
      </c>
    </row>
    <row r="15" spans="1:8" x14ac:dyDescent="0.3">
      <c r="B15" s="13"/>
      <c r="C15" s="13"/>
      <c r="D15" s="13" t="s">
        <v>51</v>
      </c>
      <c r="E15" s="13" t="s">
        <v>59</v>
      </c>
      <c r="F15" s="13" t="s">
        <v>61</v>
      </c>
      <c r="G15" s="13" t="s">
        <v>56</v>
      </c>
      <c r="H15" s="13" t="s">
        <v>56</v>
      </c>
    </row>
    <row r="16" spans="1:8" ht="15" thickBot="1" x14ac:dyDescent="0.35">
      <c r="B16" s="14" t="s">
        <v>24</v>
      </c>
      <c r="C16" s="14" t="s">
        <v>25</v>
      </c>
      <c r="D16" s="14" t="s">
        <v>10</v>
      </c>
      <c r="E16" s="14" t="s">
        <v>60</v>
      </c>
      <c r="F16" s="14" t="s">
        <v>62</v>
      </c>
      <c r="G16" s="14" t="s">
        <v>57</v>
      </c>
      <c r="H16" s="14" t="s">
        <v>58</v>
      </c>
    </row>
    <row r="17" spans="2:8" x14ac:dyDescent="0.3">
      <c r="B17" s="11" t="s">
        <v>36</v>
      </c>
      <c r="C17" s="11" t="s">
        <v>37</v>
      </c>
      <c r="D17" s="11">
        <v>50000</v>
      </c>
      <c r="E17" s="11">
        <v>1.0311181264182083</v>
      </c>
      <c r="F17" s="11">
        <v>50000</v>
      </c>
      <c r="G17" s="11">
        <v>1E+30</v>
      </c>
      <c r="H17" s="11">
        <v>2889.239999999998</v>
      </c>
    </row>
    <row r="18" spans="2:8" x14ac:dyDescent="0.3">
      <c r="B18" s="11" t="s">
        <v>38</v>
      </c>
      <c r="C18" s="11" t="s">
        <v>39</v>
      </c>
      <c r="D18" s="11">
        <v>30000</v>
      </c>
      <c r="E18" s="11">
        <v>0</v>
      </c>
      <c r="F18" s="11">
        <v>25000</v>
      </c>
      <c r="G18" s="11">
        <v>5000.0000000000018</v>
      </c>
      <c r="H18" s="11">
        <v>1E+30</v>
      </c>
    </row>
    <row r="19" spans="2:8" x14ac:dyDescent="0.3">
      <c r="B19" s="11" t="s">
        <v>40</v>
      </c>
      <c r="C19" s="11" t="s">
        <v>41</v>
      </c>
      <c r="D19" s="11">
        <v>20000</v>
      </c>
      <c r="E19" s="11">
        <v>-1.6088955107087743E-2</v>
      </c>
      <c r="F19" s="11">
        <v>20000</v>
      </c>
      <c r="G19" s="11">
        <v>2889.239999999998</v>
      </c>
      <c r="H19" s="11">
        <v>946.87000000000035</v>
      </c>
    </row>
    <row r="20" spans="2:8" x14ac:dyDescent="0.3">
      <c r="B20" s="11" t="s">
        <v>42</v>
      </c>
      <c r="C20" s="11" t="s">
        <v>43</v>
      </c>
      <c r="D20" s="11">
        <v>38531.89</v>
      </c>
      <c r="E20" s="11">
        <v>0</v>
      </c>
      <c r="F20" s="11">
        <v>15000</v>
      </c>
      <c r="G20" s="11">
        <v>23531.89</v>
      </c>
      <c r="H20" s="11">
        <v>1E+30</v>
      </c>
    </row>
    <row r="21" spans="2:8" x14ac:dyDescent="0.3">
      <c r="B21" s="11" t="s">
        <v>63</v>
      </c>
      <c r="C21" s="11" t="s">
        <v>64</v>
      </c>
      <c r="D21" s="11">
        <v>6014.2399999999989</v>
      </c>
      <c r="E21" s="11">
        <v>0</v>
      </c>
      <c r="F21" s="11">
        <v>3125</v>
      </c>
      <c r="G21" s="11">
        <v>2889.239999999998</v>
      </c>
      <c r="H21" s="11">
        <v>1E+30</v>
      </c>
    </row>
    <row r="22" spans="2:8" x14ac:dyDescent="0.3">
      <c r="B22" s="11" t="s">
        <v>65</v>
      </c>
      <c r="C22" s="11" t="s">
        <v>66</v>
      </c>
      <c r="D22" s="11">
        <v>5453.87</v>
      </c>
      <c r="E22" s="11">
        <v>0</v>
      </c>
      <c r="F22" s="11">
        <v>4507</v>
      </c>
      <c r="G22" s="11">
        <v>946.87000000000035</v>
      </c>
      <c r="H22" s="11">
        <v>1E+30</v>
      </c>
    </row>
    <row r="23" spans="2:8" x14ac:dyDescent="0.3">
      <c r="B23" s="11" t="s">
        <v>71</v>
      </c>
      <c r="C23" s="11" t="s">
        <v>72</v>
      </c>
      <c r="D23" s="11">
        <v>80</v>
      </c>
      <c r="E23" s="11">
        <v>0.99890110103997887</v>
      </c>
      <c r="F23" s="11">
        <v>80</v>
      </c>
      <c r="G23" s="11">
        <v>9.6365176671491657</v>
      </c>
      <c r="H23" s="11">
        <v>70.000733768702759</v>
      </c>
    </row>
    <row r="24" spans="2:8" x14ac:dyDescent="0.3">
      <c r="B24" s="11" t="s">
        <v>69</v>
      </c>
      <c r="C24" s="11" t="s">
        <v>70</v>
      </c>
      <c r="D24" s="11">
        <v>14546.13</v>
      </c>
      <c r="E24" s="11">
        <v>0</v>
      </c>
      <c r="F24" s="11">
        <v>1454</v>
      </c>
      <c r="G24" s="11">
        <v>13092.13</v>
      </c>
      <c r="H24" s="11">
        <v>1E+30</v>
      </c>
    </row>
    <row r="25" spans="2:8" x14ac:dyDescent="0.3">
      <c r="B25" s="11" t="s">
        <v>69</v>
      </c>
      <c r="C25" s="11" t="s">
        <v>70</v>
      </c>
      <c r="D25" s="11">
        <v>14546.13</v>
      </c>
      <c r="E25" s="11">
        <v>0</v>
      </c>
      <c r="F25" s="11">
        <v>1454</v>
      </c>
      <c r="G25" s="11">
        <v>13092.13</v>
      </c>
      <c r="H25" s="11">
        <v>1E+30</v>
      </c>
    </row>
    <row r="26" spans="2:8" x14ac:dyDescent="0.3">
      <c r="B26" s="11" t="s">
        <v>67</v>
      </c>
      <c r="C26" s="11" t="s">
        <v>68</v>
      </c>
      <c r="D26" s="11">
        <v>23985.760000000002</v>
      </c>
      <c r="E26" s="11">
        <v>0</v>
      </c>
      <c r="F26" s="11">
        <v>2998</v>
      </c>
      <c r="G26" s="11">
        <v>20987.759999999998</v>
      </c>
      <c r="H26" s="11">
        <v>1E+30</v>
      </c>
    </row>
    <row r="27" spans="2:8" ht="15" thickBot="1" x14ac:dyDescent="0.35">
      <c r="B27" s="10" t="s">
        <v>73</v>
      </c>
      <c r="C27" s="10" t="s">
        <v>74</v>
      </c>
      <c r="D27" s="10">
        <v>100</v>
      </c>
      <c r="E27" s="10">
        <v>1.54163720316176</v>
      </c>
      <c r="F27" s="10">
        <v>100</v>
      </c>
      <c r="G27" s="10">
        <v>6.5094289683922826</v>
      </c>
      <c r="H27" s="10">
        <v>90.004214179304043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Sensitivity Report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Lehlogonolo Maphalle</cp:lastModifiedBy>
  <dcterms:created xsi:type="dcterms:W3CDTF">2026-06-29T11:24:11Z</dcterms:created>
  <dcterms:modified xsi:type="dcterms:W3CDTF">2026-06-29T19:49:50Z</dcterms:modified>
</cp:coreProperties>
</file>